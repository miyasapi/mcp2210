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1701N\Documents\00-AutoCAD\07-PLC\"/>
    </mc:Choice>
  </mc:AlternateContent>
  <xr:revisionPtr revIDLastSave="0" documentId="8_{CCEECA17-4D44-46A2-9BAD-7B3613BC4BE5}" xr6:coauthVersionLast="47" xr6:coauthVersionMax="47" xr10:uidLastSave="{00000000-0000-0000-0000-000000000000}"/>
  <bookViews>
    <workbookView xWindow="1920" yWindow="2205" windowWidth="21525" windowHeight="11220" xr2:uid="{3BF79215-CA07-4875-AC2E-30460F1D9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I6" i="1"/>
  <c r="H6" i="1"/>
  <c r="G6" i="1"/>
  <c r="F6" i="1"/>
  <c r="I5" i="1"/>
  <c r="H5" i="1"/>
  <c r="G5" i="1"/>
  <c r="F5" i="1"/>
  <c r="F4" i="1"/>
  <c r="I4" i="1"/>
  <c r="H4" i="1"/>
  <c r="G4" i="1"/>
  <c r="I3" i="1"/>
  <c r="H3" i="1"/>
  <c r="G3" i="1"/>
  <c r="F3" i="1"/>
  <c r="J3" i="1" s="1"/>
  <c r="B9" i="1"/>
  <c r="D7" i="1"/>
  <c r="C7" i="1"/>
  <c r="B7" i="1"/>
  <c r="B5" i="1"/>
  <c r="C4" i="1"/>
  <c r="C3" i="1"/>
</calcChain>
</file>

<file path=xl/sharedStrings.xml><?xml version="1.0" encoding="utf-8"?>
<sst xmlns="http://schemas.openxmlformats.org/spreadsheetml/2006/main" count="10" uniqueCount="9">
  <si>
    <t>K</t>
    <phoneticPr fontId="1"/>
  </si>
  <si>
    <t>KK</t>
    <phoneticPr fontId="1"/>
  </si>
  <si>
    <t>N</t>
    <phoneticPr fontId="1"/>
  </si>
  <si>
    <t>TC</t>
    <phoneticPr fontId="1"/>
  </si>
  <si>
    <t>R</t>
    <phoneticPr fontId="1"/>
  </si>
  <si>
    <t>J</t>
    <phoneticPr fontId="1"/>
  </si>
  <si>
    <t>H</t>
    <phoneticPr fontId="1"/>
  </si>
  <si>
    <t>S</t>
    <phoneticPr fontId="1"/>
  </si>
  <si>
    <t>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</si>
</sst>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074F-2CC8-42E3-92C8-573DC08F5CD5}">
  <dimension ref="A1:J9"/>
  <sheetViews>
    <sheetView tabSelected="1" workbookViewId="0">
      <selection activeCell="J6" sqref="J6"/>
    </sheetView>
  </sheetViews>
  <sheetFormatPr defaultRowHeight="18.75" x14ac:dyDescent="0.4"/>
  <sheetData>
    <row r="1" spans="1:10" x14ac:dyDescent="0.4">
      <c r="B1">
        <v>1100</v>
      </c>
      <c r="F1" t="s">
        <v>5</v>
      </c>
      <c r="G1" t="s">
        <v>6</v>
      </c>
      <c r="H1" t="s">
        <v>7</v>
      </c>
      <c r="I1" t="s">
        <v>8</v>
      </c>
    </row>
    <row r="2" spans="1:10" x14ac:dyDescent="0.4">
      <c r="B2">
        <v>1700</v>
      </c>
      <c r="C2" s="1"/>
      <c r="F2">
        <v>0.4</v>
      </c>
      <c r="G2">
        <v>0.25</v>
      </c>
      <c r="H2">
        <v>0.2</v>
      </c>
      <c r="I2">
        <v>0.15</v>
      </c>
    </row>
    <row r="3" spans="1:10" x14ac:dyDescent="0.4">
      <c r="A3" t="s">
        <v>0</v>
      </c>
      <c r="B3">
        <v>450</v>
      </c>
      <c r="C3" s="1">
        <f>B3/5/12</f>
        <v>7.5</v>
      </c>
      <c r="F3" s="1">
        <f>$B3*F$2/12/5</f>
        <v>3</v>
      </c>
      <c r="G3" s="1">
        <f t="shared" ref="G3:I6" si="0">$B3*G$2/12/5</f>
        <v>1.875</v>
      </c>
      <c r="H3" s="1">
        <f t="shared" si="0"/>
        <v>1.5</v>
      </c>
      <c r="I3" s="1">
        <f t="shared" si="0"/>
        <v>1.125</v>
      </c>
      <c r="J3">
        <f>SUM(F3:I3)*5*12</f>
        <v>450</v>
      </c>
    </row>
    <row r="4" spans="1:10" x14ac:dyDescent="0.4">
      <c r="A4" t="s">
        <v>1</v>
      </c>
      <c r="B4">
        <v>500</v>
      </c>
      <c r="C4" s="1">
        <f>B4/5/12</f>
        <v>8.3333333333333339</v>
      </c>
      <c r="D4" t="s">
        <v>4</v>
      </c>
      <c r="F4" s="1">
        <f>$B4*F$2/12/5</f>
        <v>3.3333333333333335</v>
      </c>
      <c r="G4" s="1">
        <f t="shared" si="0"/>
        <v>2.083333333333333</v>
      </c>
      <c r="H4" s="1">
        <f t="shared" si="0"/>
        <v>1.6666666666666667</v>
      </c>
      <c r="I4" s="1">
        <f t="shared" si="0"/>
        <v>1.25</v>
      </c>
      <c r="J4">
        <f>SUM(F4:I4)*5*12</f>
        <v>499.99999999999989</v>
      </c>
    </row>
    <row r="5" spans="1:10" x14ac:dyDescent="0.4">
      <c r="A5" t="s">
        <v>2</v>
      </c>
      <c r="B5">
        <f>20*5*12</f>
        <v>1200</v>
      </c>
      <c r="C5" s="1">
        <v>20</v>
      </c>
      <c r="D5" t="s">
        <v>4</v>
      </c>
      <c r="F5" s="1">
        <f t="shared" ref="F5:F6" si="1">$B5*F$2/12/5</f>
        <v>8</v>
      </c>
      <c r="G5" s="1">
        <f t="shared" si="0"/>
        <v>5</v>
      </c>
      <c r="H5" s="1">
        <f t="shared" si="0"/>
        <v>4</v>
      </c>
      <c r="I5" s="1">
        <f t="shared" si="0"/>
        <v>3</v>
      </c>
      <c r="J5">
        <f>SUM(F5:I5)*5*12</f>
        <v>1200</v>
      </c>
    </row>
    <row r="6" spans="1:10" x14ac:dyDescent="0.4">
      <c r="A6" t="s">
        <v>3</v>
      </c>
      <c r="B6">
        <v>257</v>
      </c>
      <c r="C6" s="1"/>
      <c r="F6" s="1">
        <f t="shared" si="1"/>
        <v>1.7133333333333336</v>
      </c>
      <c r="G6" s="1">
        <f t="shared" si="0"/>
        <v>1.0708333333333333</v>
      </c>
      <c r="H6" s="1">
        <f t="shared" si="0"/>
        <v>0.8566666666666668</v>
      </c>
      <c r="I6" s="1">
        <f t="shared" si="0"/>
        <v>0.64249999999999996</v>
      </c>
      <c r="J6">
        <f>SUM(F6:I6)*5*12</f>
        <v>257</v>
      </c>
    </row>
    <row r="7" spans="1:10" x14ac:dyDescent="0.4">
      <c r="B7">
        <f>SUM(B3:B6)</f>
        <v>2407</v>
      </c>
      <c r="C7" s="1">
        <f>B7*0.06</f>
        <v>144.41999999999999</v>
      </c>
      <c r="D7">
        <f>C7/12</f>
        <v>12.034999999999998</v>
      </c>
    </row>
    <row r="9" spans="1:10" x14ac:dyDescent="0.4">
      <c r="B9">
        <f>SUM(B1:B6)</f>
        <v>5207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Miyamoto Satoshi (宮本 賢)</dc:creator>
  <cp:lastModifiedBy>Miyamoto Satoshi (宮本 賢)</cp:lastModifiedBy>
  <dcterms:created xsi:type="dcterms:W3CDTF">2025-12-05T05:16:13Z</dcterms:created>
  <dcterms:modified xsi:type="dcterms:W3CDTF">2025-12-05T05:35:35Z</dcterms:modified>
</cp:coreProperties>
</file>